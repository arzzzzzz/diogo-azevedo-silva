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su\Desktop\"/>
    </mc:Choice>
  </mc:AlternateContent>
  <xr:revisionPtr revIDLastSave="0" documentId="13_ncr:1_{BC90BC63-FE77-4548-A8B8-DB64E3BE5B6A}" xr6:coauthVersionLast="47" xr6:coauthVersionMax="47" xr10:uidLastSave="{00000000-0000-0000-0000-000000000000}"/>
  <bookViews>
    <workbookView xWindow="14400" yWindow="0" windowWidth="14400" windowHeight="15600" xr2:uid="{E5A49849-9CDA-4F9B-A6B6-7565350DD94E}"/>
  </bookViews>
  <sheets>
    <sheet name="Planilha1" sheetId="1" r:id="rId1"/>
    <sheet name="Planilha2" sheetId="3" r:id="rId2"/>
  </sheets>
  <definedNames>
    <definedName name="_xlnm._FilterDatabase" localSheetId="0" hidden="1">Planilha1!$B$37:$E$38</definedName>
    <definedName name="aporte">Planilha1!$E$20</definedName>
    <definedName name="patrimonio">Planilha1!$E$23</definedName>
    <definedName name="qtd_anos">Planilha1!$E$21</definedName>
    <definedName name="rendimentoo_carteira">Planilha1!$E$14</definedName>
    <definedName name="taxa_mensal">Planilha1!$E$22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" i="1" l="1"/>
  <c r="D34" i="1"/>
  <c r="D30" i="1"/>
  <c r="E30" i="1" s="1"/>
  <c r="D42" i="1"/>
  <c r="D38" i="1"/>
  <c r="D43" i="1"/>
  <c r="D44" i="1"/>
  <c r="D45" i="1"/>
  <c r="D46" i="1"/>
  <c r="D41" i="1"/>
  <c r="I2" i="3"/>
  <c r="A9" i="3"/>
  <c r="A10" i="3"/>
  <c r="A11" i="3"/>
  <c r="A12" i="3"/>
  <c r="A13" i="3"/>
  <c r="A14" i="3"/>
  <c r="A15" i="3"/>
  <c r="A16" i="3"/>
  <c r="A17" i="3"/>
  <c r="A18" i="3"/>
  <c r="A19" i="3"/>
  <c r="A20" i="3"/>
  <c r="A3" i="3"/>
  <c r="A4" i="3"/>
  <c r="A5" i="3"/>
  <c r="A6" i="3"/>
  <c r="A7" i="3"/>
  <c r="A8" i="3"/>
  <c r="E23" i="1"/>
  <c r="E24" i="1" s="1"/>
  <c r="E15" i="1"/>
  <c r="D33" i="1"/>
  <c r="E33" i="1" s="1"/>
  <c r="D32" i="1"/>
  <c r="E32" i="1" s="1"/>
  <c r="D31" i="1"/>
  <c r="E31" i="1" s="1"/>
  <c r="E42" i="1" l="1"/>
  <c r="E46" i="1"/>
  <c r="E41" i="1"/>
  <c r="E44" i="1"/>
  <c r="E43" i="1"/>
  <c r="E45" i="1"/>
  <c r="E47" i="1" l="1"/>
</calcChain>
</file>

<file path=xl/sharedStrings.xml><?xml version="1.0" encoding="utf-8"?>
<sst xmlns="http://schemas.openxmlformats.org/spreadsheetml/2006/main" count="71" uniqueCount="35">
  <si>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</si>
  <si>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</si>
  <si>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</si>
  <si>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</si>
  <si>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</si>
  <si>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</si>
  <si>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CENÁRIOS</t>
  </si>
  <si>
    <t>Valor em 2 anos</t>
  </si>
  <si>
    <t>Salário</t>
  </si>
  <si>
    <t>Rendimento Carteira</t>
  </si>
  <si>
    <t>Sugestão de Investimento</t>
  </si>
  <si>
    <t>Dividendos</t>
  </si>
  <si>
    <t>Valor em 5 anos</t>
  </si>
  <si>
    <t>Valor em 10 anos</t>
  </si>
  <si>
    <t>Valor em 20 anos</t>
  </si>
  <si>
    <t>CONFIGURAÇÕES</t>
  </si>
  <si>
    <t>Perfil</t>
  </si>
  <si>
    <t>Valor a ser investido</t>
  </si>
  <si>
    <t>Tipo de FII</t>
  </si>
  <si>
    <t>Papel</t>
  </si>
  <si>
    <t>Tijolo</t>
  </si>
  <si>
    <t>Híbridos</t>
  </si>
  <si>
    <t>FOFs</t>
  </si>
  <si>
    <t>Desenvolvimento</t>
  </si>
  <si>
    <t>Hotelarias</t>
  </si>
  <si>
    <t>Percentual Sugerido</t>
  </si>
  <si>
    <t>Valores</t>
  </si>
  <si>
    <t>Conservador</t>
  </si>
  <si>
    <t>Moderado</t>
  </si>
  <si>
    <t>PERFIL</t>
  </si>
  <si>
    <t>Chave</t>
  </si>
  <si>
    <t>Agressivo</t>
  </si>
  <si>
    <t>%</t>
  </si>
  <si>
    <t>Moderado.Tijolo</t>
  </si>
  <si>
    <t>Valor em 30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</si>
</sst>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Segoe UI"/>
      <family val="2"/>
    </font>
    <font>
      <b/>
      <sz val="14"/>
      <color rgb="FF000000"/>
      <name val="Segoe UI"/>
      <family val="2"/>
    </font>
    <font>
      <b/>
      <sz val="24"/>
      <color theme="0"/>
      <name val="Segoe UI"/>
      <family val="2"/>
    </font>
    <font>
      <b/>
      <sz val="16"/>
      <color theme="0"/>
      <name val="Segoe UI"/>
      <family val="2"/>
    </font>
    <font>
      <b/>
      <sz val="18"/>
      <color theme="0"/>
      <name val="Segoe U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theme="1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theme="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/>
      <top style="medium">
        <color theme="0" tint="-0.24994659260841701"/>
      </top>
      <bottom style="medium">
        <color indexed="64"/>
      </bottom>
      <diagonal/>
    </border>
    <border>
      <left/>
      <right/>
      <top style="medium">
        <color theme="0" tint="-0.24994659260841701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thin">
        <color theme="0" tint="-0.34998626667073579"/>
      </bottom>
      <diagonal/>
    </border>
    <border>
      <left style="medium">
        <color theme="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/>
      </left>
      <right/>
      <top style="thin">
        <color theme="0" tint="-0.34998626667073579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0" tint="-0.24994659260841701"/>
      </bottom>
      <diagonal/>
    </border>
    <border>
      <left/>
      <right/>
      <top style="medium">
        <color indexed="64"/>
      </top>
      <bottom style="medium">
        <color theme="0" tint="-0.24994659260841701"/>
      </bottom>
      <diagonal/>
    </border>
    <border>
      <left/>
      <right style="thin">
        <color theme="0" tint="-0.34998626667073579"/>
      </right>
      <top style="medium">
        <color indexed="64"/>
      </top>
      <bottom style="medium">
        <color theme="0" tint="-0.24994659260841701"/>
      </bottom>
      <diagonal/>
    </border>
    <border>
      <left/>
      <right style="thin">
        <color theme="0" tint="-0.34998626667073579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thin">
        <color theme="0" tint="-0.34998626667073579"/>
      </right>
      <top style="medium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/>
    </xf>
    <xf numFmtId="9" fontId="0" fillId="0" borderId="0" xfId="0" applyNumberFormat="1"/>
    <xf numFmtId="0" fontId="3" fillId="0" borderId="0" xfId="0" applyFont="1" applyAlignment="1">
      <alignment horizontal="left"/>
    </xf>
    <xf numFmtId="164" fontId="3" fillId="0" borderId="0" xfId="0" applyNumberFormat="1" applyFont="1"/>
    <xf numFmtId="8" fontId="3" fillId="5" borderId="25" xfId="0" applyNumberFormat="1" applyFont="1" applyFill="1" applyBorder="1" applyAlignment="1">
      <alignment horizontal="center"/>
    </xf>
    <xf numFmtId="8" fontId="3" fillId="5" borderId="12" xfId="0" applyNumberFormat="1" applyFont="1" applyFill="1" applyBorder="1" applyAlignment="1">
      <alignment horizontal="center"/>
    </xf>
    <xf numFmtId="8" fontId="3" fillId="5" borderId="20" xfId="0" applyNumberFormat="1" applyFont="1" applyFill="1" applyBorder="1" applyAlignment="1">
      <alignment horizontal="center"/>
    </xf>
    <xf numFmtId="164" fontId="3" fillId="0" borderId="13" xfId="0" applyNumberFormat="1" applyFont="1" applyBorder="1" applyAlignment="1">
      <alignment horizontal="center"/>
    </xf>
    <xf numFmtId="165" fontId="3" fillId="0" borderId="9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164" fontId="10" fillId="2" borderId="30" xfId="1" applyNumberFormat="1" applyFont="1" applyFill="1" applyBorder="1" applyAlignment="1">
      <alignment horizontal="center"/>
    </xf>
    <xf numFmtId="0" fontId="10" fillId="0" borderId="31" xfId="0" applyFont="1" applyBorder="1" applyAlignment="1">
      <alignment horizontal="center"/>
    </xf>
    <xf numFmtId="10" fontId="10" fillId="0" borderId="31" xfId="0" applyNumberFormat="1" applyFont="1" applyBorder="1" applyAlignment="1">
      <alignment horizontal="center"/>
    </xf>
    <xf numFmtId="8" fontId="10" fillId="5" borderId="31" xfId="0" applyNumberFormat="1" applyFont="1" applyFill="1" applyBorder="1" applyAlignment="1">
      <alignment horizontal="center"/>
    </xf>
    <xf numFmtId="8" fontId="10" fillId="5" borderId="32" xfId="0" applyNumberFormat="1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11" fillId="7" borderId="0" xfId="0" applyFont="1" applyFill="1" applyAlignment="1">
      <alignment horizontal="center" vertical="center"/>
    </xf>
    <xf numFmtId="0" fontId="9" fillId="7" borderId="0" xfId="0" applyFont="1" applyFill="1"/>
    <xf numFmtId="164" fontId="9" fillId="7" borderId="0" xfId="0" applyNumberFormat="1" applyFont="1" applyFill="1" applyAlignment="1">
      <alignment horizontal="center"/>
    </xf>
    <xf numFmtId="0" fontId="0" fillId="0" borderId="5" xfId="0" applyBorder="1"/>
    <xf numFmtId="0" fontId="0" fillId="0" borderId="8" xfId="0" applyBorder="1"/>
    <xf numFmtId="0" fontId="4" fillId="2" borderId="36" xfId="0" applyFont="1" applyFill="1" applyBorder="1" applyAlignment="1">
      <alignment horizontal="left" indent="2"/>
    </xf>
    <xf numFmtId="0" fontId="4" fillId="2" borderId="37" xfId="0" applyFont="1" applyFill="1" applyBorder="1" applyAlignment="1">
      <alignment horizontal="left" indent="2"/>
    </xf>
    <xf numFmtId="0" fontId="4" fillId="2" borderId="38" xfId="0" applyFont="1" applyFill="1" applyBorder="1" applyAlignment="1">
      <alignment horizontal="left" indent="2"/>
    </xf>
    <xf numFmtId="0" fontId="4" fillId="2" borderId="26" xfId="0" applyFont="1" applyFill="1" applyBorder="1" applyAlignment="1">
      <alignment horizontal="left" indent="2"/>
    </xf>
    <xf numFmtId="0" fontId="4" fillId="2" borderId="27" xfId="0" applyFont="1" applyFill="1" applyBorder="1" applyAlignment="1">
      <alignment horizontal="left" indent="2"/>
    </xf>
    <xf numFmtId="0" fontId="4" fillId="2" borderId="39" xfId="0" applyFont="1" applyFill="1" applyBorder="1" applyAlignment="1">
      <alignment horizontal="left" indent="2"/>
    </xf>
    <xf numFmtId="0" fontId="7" fillId="8" borderId="1" xfId="0" applyFont="1" applyFill="1" applyBorder="1" applyAlignment="1">
      <alignment horizontal="left"/>
    </xf>
    <xf numFmtId="0" fontId="7" fillId="8" borderId="7" xfId="0" applyFont="1" applyFill="1" applyBorder="1" applyAlignment="1">
      <alignment horizontal="left"/>
    </xf>
    <xf numFmtId="0" fontId="11" fillId="7" borderId="0" xfId="0" applyFont="1" applyFill="1" applyAlignment="1">
      <alignment horizontal="center" vertical="center"/>
    </xf>
    <xf numFmtId="0" fontId="7" fillId="8" borderId="7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5" fillId="3" borderId="28" xfId="0" applyFont="1" applyFill="1" applyBorder="1" applyAlignment="1">
      <alignment horizontal="left" indent="2"/>
    </xf>
    <xf numFmtId="0" fontId="5" fillId="3" borderId="29" xfId="0" applyFont="1" applyFill="1" applyBorder="1" applyAlignment="1">
      <alignment horizontal="left" indent="2"/>
    </xf>
    <xf numFmtId="0" fontId="5" fillId="3" borderId="40" xfId="0" applyFont="1" applyFill="1" applyBorder="1" applyAlignment="1">
      <alignment horizontal="left" indent="2"/>
    </xf>
    <xf numFmtId="0" fontId="5" fillId="3" borderId="26" xfId="0" applyFont="1" applyFill="1" applyBorder="1" applyAlignment="1">
      <alignment horizontal="left" indent="2"/>
    </xf>
    <xf numFmtId="0" fontId="5" fillId="3" borderId="27" xfId="0" applyFont="1" applyFill="1" applyBorder="1" applyAlignment="1">
      <alignment horizontal="left" indent="2"/>
    </xf>
    <xf numFmtId="0" fontId="5" fillId="3" borderId="39" xfId="0" applyFont="1" applyFill="1" applyBorder="1" applyAlignment="1">
      <alignment horizontal="left" indent="2"/>
    </xf>
    <xf numFmtId="0" fontId="8" fillId="4" borderId="7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8" fontId="3" fillId="5" borderId="22" xfId="0" applyNumberFormat="1" applyFont="1" applyFill="1" applyBorder="1" applyAlignment="1">
      <alignment horizontal="center"/>
    </xf>
    <xf numFmtId="8" fontId="3" fillId="5" borderId="23" xfId="0" applyNumberFormat="1" applyFont="1" applyFill="1" applyBorder="1" applyAlignment="1">
      <alignment horizontal="center"/>
    </xf>
    <xf numFmtId="164" fontId="3" fillId="5" borderId="17" xfId="0" applyNumberFormat="1" applyFont="1" applyFill="1" applyBorder="1" applyAlignment="1">
      <alignment horizontal="center"/>
    </xf>
    <xf numFmtId="164" fontId="3" fillId="5" borderId="24" xfId="0" applyNumberFormat="1" applyFont="1" applyFill="1" applyBorder="1" applyAlignment="1">
      <alignment horizontal="center"/>
    </xf>
    <xf numFmtId="0" fontId="3" fillId="0" borderId="14" xfId="0" applyFont="1" applyBorder="1" applyAlignment="1">
      <alignment horizontal="left" indent="2"/>
    </xf>
    <xf numFmtId="0" fontId="3" fillId="0" borderId="15" xfId="0" applyFont="1" applyBorder="1" applyAlignment="1">
      <alignment horizontal="left" indent="2"/>
    </xf>
    <xf numFmtId="0" fontId="3" fillId="0" borderId="11" xfId="0" applyFont="1" applyBorder="1" applyAlignment="1">
      <alignment horizontal="left" indent="2"/>
    </xf>
    <xf numFmtId="0" fontId="3" fillId="0" borderId="16" xfId="0" applyFont="1" applyBorder="1" applyAlignment="1">
      <alignment horizontal="left" indent="2"/>
    </xf>
    <xf numFmtId="0" fontId="3" fillId="0" borderId="17" xfId="0" applyFont="1" applyBorder="1" applyAlignment="1">
      <alignment horizontal="left" indent="2"/>
    </xf>
    <xf numFmtId="0" fontId="3" fillId="0" borderId="12" xfId="0" applyFont="1" applyBorder="1" applyAlignment="1">
      <alignment horizontal="left" indent="2"/>
    </xf>
    <xf numFmtId="0" fontId="3" fillId="0" borderId="18" xfId="0" applyFont="1" applyBorder="1" applyAlignment="1">
      <alignment horizontal="left" indent="2"/>
    </xf>
    <xf numFmtId="0" fontId="3" fillId="0" borderId="19" xfId="0" applyFont="1" applyBorder="1" applyAlignment="1">
      <alignment horizontal="left" indent="2"/>
    </xf>
    <xf numFmtId="0" fontId="3" fillId="0" borderId="20" xfId="0" applyFont="1" applyBorder="1" applyAlignment="1">
      <alignment horizontal="left" indent="2"/>
    </xf>
    <xf numFmtId="0" fontId="6" fillId="6" borderId="1" xfId="0" applyFont="1" applyFill="1" applyBorder="1" applyAlignment="1">
      <alignment horizontal="left" vertical="center" indent="1"/>
    </xf>
    <xf numFmtId="0" fontId="6" fillId="6" borderId="7" xfId="0" applyFont="1" applyFill="1" applyBorder="1" applyAlignment="1">
      <alignment horizontal="left" vertical="center" indent="1"/>
    </xf>
    <xf numFmtId="0" fontId="6" fillId="6" borderId="2" xfId="0" applyFont="1" applyFill="1" applyBorder="1" applyAlignment="1">
      <alignment horizontal="left" vertical="center" indent="1"/>
    </xf>
    <xf numFmtId="0" fontId="6" fillId="6" borderId="3" xfId="0" applyFont="1" applyFill="1" applyBorder="1" applyAlignment="1">
      <alignment horizontal="left" vertical="center" indent="1"/>
    </xf>
    <xf numFmtId="0" fontId="6" fillId="6" borderId="0" xfId="0" applyFont="1" applyFill="1" applyAlignment="1">
      <alignment horizontal="left" vertical="center" indent="1"/>
    </xf>
    <xf numFmtId="0" fontId="6" fillId="6" borderId="4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6" fillId="4" borderId="7" xfId="0" applyFont="1" applyFill="1" applyBorder="1" applyAlignment="1">
      <alignment horizontal="left" vertical="center" indent="1"/>
    </xf>
    <xf numFmtId="0" fontId="6" fillId="4" borderId="2" xfId="0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4" borderId="0" xfId="0" applyFont="1" applyFill="1" applyAlignment="1">
      <alignment horizontal="left" vertical="center" indent="1"/>
    </xf>
    <xf numFmtId="0" fontId="6" fillId="4" borderId="4" xfId="0" applyFont="1" applyFill="1" applyBorder="1" applyAlignment="1">
      <alignment horizontal="left" vertical="center" indent="1"/>
    </xf>
    <xf numFmtId="0" fontId="6" fillId="4" borderId="5" xfId="0" applyFont="1" applyFill="1" applyBorder="1" applyAlignment="1">
      <alignment horizontal="left" vertical="center" indent="1"/>
    </xf>
    <xf numFmtId="0" fontId="6" fillId="4" borderId="8" xfId="0" applyFont="1" applyFill="1" applyBorder="1" applyAlignment="1">
      <alignment horizontal="left" vertical="center" indent="1"/>
    </xf>
    <xf numFmtId="0" fontId="6" fillId="4" borderId="6" xfId="0" applyFont="1" applyFill="1" applyBorder="1" applyAlignment="1">
      <alignment horizontal="left" vertical="center" indent="1"/>
    </xf>
    <xf numFmtId="0" fontId="3" fillId="5" borderId="34" xfId="0" applyFont="1" applyFill="1" applyBorder="1" applyAlignment="1">
      <alignment horizontal="left" indent="2"/>
    </xf>
    <xf numFmtId="0" fontId="3" fillId="5" borderId="21" xfId="0" applyFont="1" applyFill="1" applyBorder="1" applyAlignment="1">
      <alignment horizontal="left" indent="2"/>
    </xf>
    <xf numFmtId="0" fontId="3" fillId="5" borderId="35" xfId="0" applyFont="1" applyFill="1" applyBorder="1" applyAlignment="1">
      <alignment horizontal="left" indent="2"/>
    </xf>
    <xf numFmtId="0" fontId="3" fillId="5" borderId="42" xfId="0" applyFont="1" applyFill="1" applyBorder="1" applyAlignment="1">
      <alignment horizontal="left" indent="2"/>
    </xf>
    <xf numFmtId="0" fontId="3" fillId="5" borderId="33" xfId="0" applyFont="1" applyFill="1" applyBorder="1" applyAlignment="1">
      <alignment horizontal="left" indent="2"/>
    </xf>
    <xf numFmtId="0" fontId="3" fillId="5" borderId="41" xfId="0" applyFont="1" applyFill="1" applyBorder="1" applyAlignment="1">
      <alignment horizontal="left" indent="2"/>
    </xf>
    <xf numFmtId="0" fontId="0" fillId="0" borderId="8" xfId="0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9" borderId="0" xfId="0" applyFill="1"/>
    <xf numFmtId="0" fontId="11" fillId="9" borderId="43" xfId="0" applyFont="1" applyFill="1" applyBorder="1" applyAlignment="1">
      <alignment horizontal="center" vertical="center"/>
    </xf>
    <xf numFmtId="0" fontId="11" fillId="9" borderId="0" xfId="0" applyFont="1" applyFill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10" fontId="0" fillId="0" borderId="0" xfId="0" applyNumberFormat="1"/>
    <xf numFmtId="0" fontId="0" fillId="0" borderId="0" xfId="0" applyNumberFormat="1" applyAlignment="1">
      <alignment horizontal="center"/>
    </xf>
    <xf numFmtId="0" fontId="2" fillId="0" borderId="0" xfId="0" applyFont="1" applyFill="1" applyBorder="1"/>
    <xf numFmtId="0" fontId="3" fillId="5" borderId="44" xfId="0" applyFont="1" applyFill="1" applyBorder="1" applyAlignment="1">
      <alignment horizontal="left" indent="2"/>
    </xf>
    <xf numFmtId="164" fontId="3" fillId="5" borderId="45" xfId="0" applyNumberFormat="1" applyFont="1" applyFill="1" applyBorder="1" applyAlignment="1">
      <alignment horizontal="center"/>
    </xf>
    <xf numFmtId="164" fontId="3" fillId="5" borderId="10" xfId="0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Investimento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DB2-4CAE-8536-F46A5A329C3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DB2-4CAE-8536-F46A5A329C36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DB2-4CAE-8536-F46A5A329C36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DB2-4CAE-8536-F46A5A329C36}"/>
              </c:ext>
            </c:extLst>
          </c:dPt>
          <c:dPt>
            <c:idx val="5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DB2-4CAE-8536-F46A5A329C36}"/>
              </c:ext>
            </c:extLst>
          </c:dPt>
          <c:cat>
            <c:strRef>
              <c:f>Planilha1!$B$41:$B$46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Planilha1!$D$41:$D$46</c:f>
              <c:numCache>
                <c:formatCode>0%</c:formatCode>
                <c:ptCount val="6"/>
                <c:pt idx="0">
                  <c:v>0.32</c:v>
                </c:pt>
                <c:pt idx="1">
                  <c:v>0.3</c:v>
                </c:pt>
                <c:pt idx="2">
                  <c:v>0.08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B2-4CAE-8536-F46A5A329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4311960"/>
        <c:axId val="6743094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Planilha1!$B$41:$B$46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Híbridos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Planilha1!$C$41:$C$46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DB2-4CAE-8536-F46A5A329C36}"/>
                  </c:ext>
                </c:extLst>
              </c15:ser>
            </c15:filteredBarSeries>
          </c:ext>
        </c:extLst>
      </c:barChart>
      <c:catAx>
        <c:axId val="674311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4309440"/>
        <c:crosses val="autoZero"/>
        <c:auto val="1"/>
        <c:lblAlgn val="ctr"/>
        <c:lblOffset val="100"/>
        <c:noMultiLvlLbl val="0"/>
      </c:catAx>
      <c:valAx>
        <c:axId val="67430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4311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8A59E0C7-4D2F-2D94-FFAA-FC41CED06F85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D0AD666C-BC80-9976-DB7A-44ECD85D07ED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515937</xdr:colOff>
      <xdr:row>1</xdr:row>
      <xdr:rowOff>104776</xdr:rowOff>
    </xdr:from>
    <xdr:to>
      <xdr:col>6</xdr:col>
      <xdr:colOff>166687</xdr:colOff>
      <xdr:row>7</xdr:row>
      <xdr:rowOff>171451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531A1B8-450C-4DB2-8E4F-DF9C888866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432"/>
        <a:stretch>
          <a:fillRect/>
        </a:stretch>
      </xdr:blipFill>
      <xdr:spPr>
        <a:xfrm>
          <a:off x="515937" y="295276"/>
          <a:ext cx="8163719" cy="1543050"/>
        </a:xfrm>
        <a:prstGeom prst="rect">
          <a:avLst/>
        </a:prstGeom>
      </xdr:spPr>
    </xdr:pic>
    <xdr:clientData/>
  </xdr:twoCellAnchor>
  <xdr:twoCellAnchor>
    <xdr:from>
      <xdr:col>0</xdr:col>
      <xdr:colOff>600074</xdr:colOff>
      <xdr:row>47</xdr:row>
      <xdr:rowOff>71436</xdr:rowOff>
    </xdr:from>
    <xdr:to>
      <xdr:col>6</xdr:col>
      <xdr:colOff>0</xdr:colOff>
      <xdr:row>64</xdr:row>
      <xdr:rowOff>57149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9AB5074-B0FE-4538-A9C1-D51B412CD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1E30E-5A19-4687-8E80-ACAFC9FB421D}">
  <dimension ref="A4:O64"/>
  <sheetViews>
    <sheetView showGridLines="0" tabSelected="1" topLeftCell="C16" zoomScaleNormal="100" workbookViewId="0">
      <selection activeCell="E35" sqref="E35"/>
    </sheetView>
  </sheetViews>
  <sheetFormatPr defaultColWidth="0" defaultRowHeight="15" x14ac:dyDescent="0.25"/>
  <cols>
    <col min="1" max="1" width="9" customWidth="1"/>
    <col min="2" max="2" width="12.140625" customWidth="1"/>
    <col min="3" max="3" width="22.42578125" customWidth="1"/>
    <col min="4" max="4" width="38.7109375" customWidth="1"/>
    <col min="5" max="5" width="45" customWidth="1"/>
    <col min="6" max="6" width="0.28515625" customWidth="1"/>
    <col min="7" max="7" width="11.42578125" customWidth="1"/>
    <col min="8" max="8" width="4.140625" customWidth="1"/>
    <col min="9" max="9" width="4.42578125" customWidth="1"/>
    <col min="10" max="10" width="3" customWidth="1"/>
    <col min="11" max="11" width="9.5703125" customWidth="1"/>
    <col min="12" max="12" width="10" customWidth="1"/>
    <col min="13" max="13" width="5.42578125" customWidth="1"/>
    <col min="14" max="14" width="9.140625" customWidth="1"/>
    <col min="15" max="15" width="3" customWidth="1"/>
    <col min="16" max="16384" width="9.140625" hidden="1"/>
  </cols>
  <sheetData>
    <row r="4" spans="2:15" ht="28.5" customHeight="1" x14ac:dyDescent="0.25"/>
    <row r="5" spans="2:15" ht="28.5" customHeight="1" x14ac:dyDescent="0.25"/>
    <row r="6" spans="2:15" ht="15" customHeight="1" x14ac:dyDescent="0.25"/>
    <row r="7" spans="2:15" ht="15" customHeight="1" x14ac:dyDescent="0.25"/>
    <row r="8" spans="2:15" ht="15" customHeight="1" x14ac:dyDescent="0.25"/>
    <row r="9" spans="2:15" ht="15" customHeight="1" thickBot="1" x14ac:dyDescent="0.3"/>
    <row r="10" spans="2:15" ht="15" customHeight="1" x14ac:dyDescent="0.25">
      <c r="B10" s="60" t="s">
        <v>15</v>
      </c>
      <c r="C10" s="61"/>
      <c r="D10" s="61"/>
      <c r="E10" s="62"/>
    </row>
    <row r="11" spans="2:15" ht="15" customHeight="1" x14ac:dyDescent="0.3">
      <c r="B11" s="63"/>
      <c r="C11" s="64"/>
      <c r="D11" s="64"/>
      <c r="E11" s="65"/>
      <c r="L11" s="5"/>
      <c r="M11" s="5"/>
      <c r="N11" s="5"/>
      <c r="O11" s="6"/>
    </row>
    <row r="12" spans="2:15" ht="15" customHeight="1" x14ac:dyDescent="0.3">
      <c r="B12" s="63"/>
      <c r="C12" s="64"/>
      <c r="D12" s="64"/>
      <c r="E12" s="65"/>
      <c r="L12" s="5"/>
      <c r="M12" s="5"/>
      <c r="N12" s="5"/>
      <c r="O12" s="6"/>
    </row>
    <row r="13" spans="2:15" ht="15" customHeight="1" x14ac:dyDescent="0.3">
      <c r="B13" s="51" t="s">
        <v>8</v>
      </c>
      <c r="C13" s="52"/>
      <c r="D13" s="53"/>
      <c r="E13" s="10">
        <v>5000</v>
      </c>
      <c r="L13" s="5"/>
      <c r="M13" s="5"/>
      <c r="N13" s="5"/>
      <c r="O13" s="6"/>
    </row>
    <row r="14" spans="2:15" ht="15" customHeight="1" x14ac:dyDescent="0.3">
      <c r="B14" s="54" t="s">
        <v>9</v>
      </c>
      <c r="C14" s="55"/>
      <c r="D14" s="56"/>
      <c r="E14" s="11">
        <v>1.2E-2</v>
      </c>
      <c r="L14" s="5"/>
      <c r="M14" s="5"/>
      <c r="N14" s="5"/>
      <c r="O14" s="6"/>
    </row>
    <row r="15" spans="2:15" ht="19.5" thickBot="1" x14ac:dyDescent="0.35">
      <c r="B15" s="57" t="s">
        <v>10</v>
      </c>
      <c r="C15" s="58"/>
      <c r="D15" s="59"/>
      <c r="E15" s="12">
        <f>E13*30%</f>
        <v>1500</v>
      </c>
    </row>
    <row r="16" spans="2:15" ht="15.75" thickBot="1" x14ac:dyDescent="0.3"/>
    <row r="17" spans="1:6" ht="15" customHeight="1" x14ac:dyDescent="0.25">
      <c r="B17" s="66" t="s">
        <v>5</v>
      </c>
      <c r="C17" s="67"/>
      <c r="D17" s="67"/>
      <c r="E17" s="68"/>
    </row>
    <row r="18" spans="1:6" ht="15" customHeight="1" x14ac:dyDescent="0.25">
      <c r="B18" s="69"/>
      <c r="C18" s="70"/>
      <c r="D18" s="70"/>
      <c r="E18" s="71"/>
    </row>
    <row r="19" spans="1:6" ht="18" customHeight="1" thickBot="1" x14ac:dyDescent="0.3">
      <c r="B19" s="72"/>
      <c r="C19" s="73"/>
      <c r="D19" s="73"/>
      <c r="E19" s="74"/>
    </row>
    <row r="20" spans="1:6" ht="20.25" customHeight="1" thickBot="1" x14ac:dyDescent="0.4">
      <c r="B20" s="24" t="s">
        <v>0</v>
      </c>
      <c r="C20" s="25"/>
      <c r="D20" s="26"/>
      <c r="E20" s="13">
        <v>350</v>
      </c>
    </row>
    <row r="21" spans="1:6" ht="19.5" customHeight="1" thickBot="1" x14ac:dyDescent="0.4">
      <c r="B21" s="27" t="s">
        <v>1</v>
      </c>
      <c r="C21" s="28"/>
      <c r="D21" s="29"/>
      <c r="E21" s="14">
        <v>3</v>
      </c>
    </row>
    <row r="22" spans="1:6" ht="19.5" customHeight="1" thickBot="1" x14ac:dyDescent="0.4">
      <c r="B22" s="27" t="s">
        <v>2</v>
      </c>
      <c r="C22" s="28"/>
      <c r="D22" s="29"/>
      <c r="E22" s="15">
        <v>1.0500000000000001E-2</v>
      </c>
    </row>
    <row r="23" spans="1:6" ht="18" customHeight="1" thickBot="1" x14ac:dyDescent="0.4">
      <c r="B23" s="40" t="s">
        <v>3</v>
      </c>
      <c r="C23" s="41"/>
      <c r="D23" s="42"/>
      <c r="E23" s="16">
        <f>FV(taxa_mensal,qtd_anos*12,aporte*-1)</f>
        <v>15216.326118645857</v>
      </c>
    </row>
    <row r="24" spans="1:6" ht="18" customHeight="1" thickBot="1" x14ac:dyDescent="0.4">
      <c r="B24" s="37" t="s">
        <v>4</v>
      </c>
      <c r="C24" s="38"/>
      <c r="D24" s="39"/>
      <c r="E24" s="17">
        <f>patrimonio*rendimentoo_carteira</f>
        <v>182.59591342375029</v>
      </c>
    </row>
    <row r="26" spans="1:6" ht="15.75" thickBot="1" x14ac:dyDescent="0.3"/>
    <row r="27" spans="1:6" ht="15" customHeight="1" x14ac:dyDescent="0.25">
      <c r="B27" s="66" t="s">
        <v>6</v>
      </c>
      <c r="C27" s="67"/>
      <c r="D27" s="67"/>
      <c r="E27" s="43" t="s">
        <v>11</v>
      </c>
      <c r="F27" s="44"/>
    </row>
    <row r="28" spans="1:6" ht="15" customHeight="1" x14ac:dyDescent="0.25">
      <c r="B28" s="69"/>
      <c r="C28" s="70"/>
      <c r="D28" s="70"/>
      <c r="E28" s="45"/>
      <c r="F28" s="46"/>
    </row>
    <row r="29" spans="1:6" ht="15.75" customHeight="1" thickBot="1" x14ac:dyDescent="0.3">
      <c r="B29" s="72"/>
      <c r="C29" s="73"/>
      <c r="D29" s="73"/>
      <c r="E29" s="45"/>
      <c r="F29" s="46"/>
    </row>
    <row r="30" spans="1:6" ht="18.75" x14ac:dyDescent="0.3">
      <c r="A30" s="2">
        <v>2</v>
      </c>
      <c r="B30" s="79" t="s">
        <v>7</v>
      </c>
      <c r="C30" s="80"/>
      <c r="D30" s="7">
        <f>FV($E$22,A30*12,$E$20*-1)</f>
        <v>9496.8934251181909</v>
      </c>
      <c r="E30" s="47">
        <f>D30*$E$14</f>
        <v>113.9627211014183</v>
      </c>
      <c r="F30" s="48"/>
    </row>
    <row r="31" spans="1:6" ht="18.75" x14ac:dyDescent="0.3">
      <c r="A31" s="2">
        <v>5</v>
      </c>
      <c r="B31" s="75" t="s">
        <v>12</v>
      </c>
      <c r="C31" s="76"/>
      <c r="D31" s="8">
        <f>FV($E$22,A31*12,$E$20*-1)</f>
        <v>29048.45436788271</v>
      </c>
      <c r="E31" s="49">
        <f>D31*$E$14</f>
        <v>348.58145241459255</v>
      </c>
      <c r="F31" s="50"/>
    </row>
    <row r="32" spans="1:6" ht="18.75" x14ac:dyDescent="0.3">
      <c r="A32" s="2">
        <v>10</v>
      </c>
      <c r="B32" s="75" t="s">
        <v>13</v>
      </c>
      <c r="C32" s="76"/>
      <c r="D32" s="8">
        <f>FV($E$22,A32*12,$E$20*-1)</f>
        <v>83411.289770654344</v>
      </c>
      <c r="E32" s="49">
        <f>D32*$E$14</f>
        <v>1000.9354772478522</v>
      </c>
      <c r="F32" s="50"/>
    </row>
    <row r="33" spans="1:9" ht="18.75" x14ac:dyDescent="0.3">
      <c r="A33" s="2">
        <v>20</v>
      </c>
      <c r="B33" s="92" t="s">
        <v>14</v>
      </c>
      <c r="C33" s="76"/>
      <c r="D33" s="8">
        <f>FV($E$22,A33*12,$E$20*-1)</f>
        <v>375545.87737743062</v>
      </c>
      <c r="E33" s="49">
        <f>D33*$E$14</f>
        <v>4506.5505285291674</v>
      </c>
      <c r="F33" s="50"/>
    </row>
    <row r="34" spans="1:9" ht="19.5" thickBot="1" x14ac:dyDescent="0.35">
      <c r="A34" s="91">
        <v>30</v>
      </c>
      <c r="B34" s="77" t="s">
        <v>34</v>
      </c>
      <c r="C34" s="78"/>
      <c r="D34" s="9">
        <f>FV($E$22,A34*12,$E$20*-1)</f>
        <v>1398700.1471511899</v>
      </c>
      <c r="E34" s="93">
        <f>D34*$E$14</f>
        <v>16784.40176581428</v>
      </c>
      <c r="F34" s="94"/>
    </row>
    <row r="36" spans="1:9" ht="15.75" thickBot="1" x14ac:dyDescent="0.3"/>
    <row r="37" spans="1:9" ht="25.5" x14ac:dyDescent="0.5">
      <c r="B37" s="30" t="s">
        <v>16</v>
      </c>
      <c r="C37" s="31"/>
      <c r="D37" s="33" t="s">
        <v>28</v>
      </c>
      <c r="E37" s="34"/>
      <c r="I37" s="4"/>
    </row>
    <row r="38" spans="1:9" ht="15.75" customHeight="1" thickBot="1" x14ac:dyDescent="0.3">
      <c r="B38" s="22" t="s">
        <v>17</v>
      </c>
      <c r="C38" s="23"/>
      <c r="D38" s="35">
        <f>aporte</f>
        <v>350</v>
      </c>
      <c r="E38" s="36"/>
    </row>
    <row r="39" spans="1:9" x14ac:dyDescent="0.25">
      <c r="D39" s="1"/>
    </row>
    <row r="40" spans="1:9" ht="15.75" customHeight="1" x14ac:dyDescent="0.25">
      <c r="B40" s="32" t="s">
        <v>18</v>
      </c>
      <c r="C40" s="32"/>
      <c r="D40" s="19" t="s">
        <v>25</v>
      </c>
      <c r="E40" s="19" t="s">
        <v>26</v>
      </c>
    </row>
    <row r="41" spans="1:9" x14ac:dyDescent="0.25">
      <c r="B41" s="90" t="s">
        <v>19</v>
      </c>
      <c r="C41" s="90"/>
      <c r="D41" s="18">
        <f>VLOOKUP($D$37&amp;"."&amp;B41,Planilha2!$A$1:$D$20,4,FALSE)</f>
        <v>0.32</v>
      </c>
      <c r="E41" s="3">
        <f>D41*$D$38</f>
        <v>112</v>
      </c>
    </row>
    <row r="42" spans="1:9" x14ac:dyDescent="0.25">
      <c r="B42" s="90" t="s">
        <v>20</v>
      </c>
      <c r="C42" s="90"/>
      <c r="D42" s="18">
        <f>VLOOKUP($D$37&amp;"."&amp;B42,Planilha2!$A$1:$D$20,4,FALSE)</f>
        <v>0.3</v>
      </c>
      <c r="E42" s="3">
        <f t="shared" ref="E42:E46" si="0">D42*$D$38</f>
        <v>105</v>
      </c>
    </row>
    <row r="43" spans="1:9" x14ac:dyDescent="0.25">
      <c r="B43" s="90" t="s">
        <v>21</v>
      </c>
      <c r="C43" s="90"/>
      <c r="D43" s="18">
        <f>VLOOKUP($D$37&amp;"."&amp;B43,Planilha2!$A$1:$D$20,4,FALSE)</f>
        <v>0.08</v>
      </c>
      <c r="E43" s="3">
        <f t="shared" si="0"/>
        <v>28</v>
      </c>
    </row>
    <row r="44" spans="1:9" x14ac:dyDescent="0.25">
      <c r="B44" s="90" t="s">
        <v>22</v>
      </c>
      <c r="C44" s="90"/>
      <c r="D44" s="18">
        <f>VLOOKUP($D$37&amp;"."&amp;B44,Planilha2!$A$1:$D$20,4,FALSE)</f>
        <v>0.1</v>
      </c>
      <c r="E44" s="3">
        <f t="shared" si="0"/>
        <v>35</v>
      </c>
    </row>
    <row r="45" spans="1:9" x14ac:dyDescent="0.25">
      <c r="B45" s="90" t="s">
        <v>23</v>
      </c>
      <c r="C45" s="90"/>
      <c r="D45" s="18">
        <f>VLOOKUP($D$37&amp;"."&amp;B45,Planilha2!$A$1:$D$20,4,FALSE)</f>
        <v>0.1</v>
      </c>
      <c r="E45" s="3">
        <f t="shared" si="0"/>
        <v>35</v>
      </c>
    </row>
    <row r="46" spans="1:9" x14ac:dyDescent="0.25">
      <c r="B46" s="90" t="s">
        <v>24</v>
      </c>
      <c r="C46" s="90"/>
      <c r="D46" s="18">
        <f>VLOOKUP($D$37&amp;"."&amp;B46,Planilha2!$A$1:$D$20,4,FALSE)</f>
        <v>0.1</v>
      </c>
      <c r="E46" s="3">
        <f t="shared" si="0"/>
        <v>35</v>
      </c>
    </row>
    <row r="47" spans="1:9" ht="18.75" x14ac:dyDescent="0.3">
      <c r="B47" s="20"/>
      <c r="C47" s="20"/>
      <c r="D47" s="20"/>
      <c r="E47" s="21">
        <f>SUM(E41:E46)</f>
        <v>350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</sheetData>
  <mergeCells count="32">
    <mergeCell ref="E34:F34"/>
    <mergeCell ref="B32:C32"/>
    <mergeCell ref="B33:C33"/>
    <mergeCell ref="B27:D29"/>
    <mergeCell ref="B34:C34"/>
    <mergeCell ref="B30:C30"/>
    <mergeCell ref="B13:D13"/>
    <mergeCell ref="B14:D14"/>
    <mergeCell ref="B15:D15"/>
    <mergeCell ref="B10:E12"/>
    <mergeCell ref="B17:E19"/>
    <mergeCell ref="B20:D20"/>
    <mergeCell ref="B21:D21"/>
    <mergeCell ref="B37:C37"/>
    <mergeCell ref="B40:C40"/>
    <mergeCell ref="B41:C41"/>
    <mergeCell ref="D37:E37"/>
    <mergeCell ref="D38:E38"/>
    <mergeCell ref="B22:D22"/>
    <mergeCell ref="B24:D24"/>
    <mergeCell ref="B23:D23"/>
    <mergeCell ref="E27:F29"/>
    <mergeCell ref="E30:F30"/>
    <mergeCell ref="E31:F31"/>
    <mergeCell ref="E32:F32"/>
    <mergeCell ref="E33:F33"/>
    <mergeCell ref="B31:C31"/>
    <mergeCell ref="B42:C42"/>
    <mergeCell ref="B43:C43"/>
    <mergeCell ref="B44:C44"/>
    <mergeCell ref="B45:C45"/>
    <mergeCell ref="B46:C46"/>
  </mergeCells>
  <dataValidations count="1">
    <dataValidation type="list" allowBlank="1" showInputMessage="1" showErrorMessage="1" sqref="D37:E37" xr:uid="{C6113E63-C60D-4104-A9DA-2B04820AD2A1}">
      <formula1>"Moderado,Conservador,Agressivo"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10715-5F01-4B1C-BC10-2424DDB7B5D0}">
  <dimension ref="A1:I20"/>
  <sheetViews>
    <sheetView workbookViewId="0">
      <selection activeCell="D11" sqref="D11"/>
    </sheetView>
  </sheetViews>
  <sheetFormatPr defaultRowHeight="15" x14ac:dyDescent="0.25"/>
  <cols>
    <col min="1" max="1" width="29" bestFit="1" customWidth="1"/>
    <col min="2" max="2" width="12.140625" bestFit="1" customWidth="1"/>
    <col min="3" max="3" width="16.85546875" bestFit="1" customWidth="1"/>
    <col min="8" max="8" width="15.85546875" bestFit="1" customWidth="1"/>
  </cols>
  <sheetData>
    <row r="1" spans="1:9" ht="15.75" thickBot="1" x14ac:dyDescent="0.3">
      <c r="A1" s="23"/>
      <c r="B1" s="23"/>
      <c r="C1" s="23"/>
      <c r="D1" s="23"/>
      <c r="I1" t="s">
        <v>32</v>
      </c>
    </row>
    <row r="2" spans="1:9" ht="21" x14ac:dyDescent="0.25">
      <c r="A2" s="83" t="s">
        <v>30</v>
      </c>
      <c r="B2" s="83" t="s">
        <v>29</v>
      </c>
      <c r="C2" s="85" t="s">
        <v>18</v>
      </c>
      <c r="D2" s="84" t="s">
        <v>32</v>
      </c>
      <c r="H2" t="s">
        <v>33</v>
      </c>
      <c r="I2" s="89">
        <f>VLOOKUP(H2,$A:$D,4,FALSE)</f>
        <v>0.3</v>
      </c>
    </row>
    <row r="3" spans="1:9" x14ac:dyDescent="0.25">
      <c r="A3" t="str">
        <f>B3&amp;"."&amp;C3</f>
        <v>Conservador.Papel</v>
      </c>
      <c r="B3" t="s">
        <v>27</v>
      </c>
      <c r="C3" s="1" t="s">
        <v>19</v>
      </c>
      <c r="D3" s="18">
        <v>0.3</v>
      </c>
    </row>
    <row r="4" spans="1:9" x14ac:dyDescent="0.25">
      <c r="A4" t="str">
        <f t="shared" ref="A4:A20" si="0">B4&amp;"."&amp;C4</f>
        <v>Conservador.Tijolo</v>
      </c>
      <c r="B4" t="s">
        <v>27</v>
      </c>
      <c r="C4" s="1" t="s">
        <v>20</v>
      </c>
      <c r="D4" s="18">
        <v>0.5</v>
      </c>
    </row>
    <row r="5" spans="1:9" x14ac:dyDescent="0.25">
      <c r="A5" t="str">
        <f t="shared" si="0"/>
        <v>Conservador.Híbridos</v>
      </c>
      <c r="B5" t="s">
        <v>27</v>
      </c>
      <c r="C5" s="1" t="s">
        <v>21</v>
      </c>
      <c r="D5" s="18">
        <v>0.1</v>
      </c>
    </row>
    <row r="6" spans="1:9" x14ac:dyDescent="0.25">
      <c r="A6" t="str">
        <f t="shared" si="0"/>
        <v>Conservador.FOFs</v>
      </c>
      <c r="B6" t="s">
        <v>27</v>
      </c>
      <c r="C6" s="1" t="s">
        <v>22</v>
      </c>
      <c r="D6" s="18">
        <v>0.1</v>
      </c>
    </row>
    <row r="7" spans="1:9" x14ac:dyDescent="0.25">
      <c r="A7" t="str">
        <f t="shared" si="0"/>
        <v>Conservador.Desenvolvimento</v>
      </c>
      <c r="B7" t="s">
        <v>27</v>
      </c>
      <c r="C7" s="1" t="s">
        <v>23</v>
      </c>
      <c r="D7" s="18">
        <v>0</v>
      </c>
    </row>
    <row r="8" spans="1:9" ht="15.75" thickBot="1" x14ac:dyDescent="0.3">
      <c r="A8" s="23" t="str">
        <f t="shared" si="0"/>
        <v>Conservador.Hotelarias</v>
      </c>
      <c r="B8" s="23" t="s">
        <v>27</v>
      </c>
      <c r="C8" s="81" t="s">
        <v>24</v>
      </c>
      <c r="D8" s="82">
        <v>0</v>
      </c>
    </row>
    <row r="9" spans="1:9" x14ac:dyDescent="0.25">
      <c r="A9" t="str">
        <f t="shared" si="0"/>
        <v>Moderado.Papel</v>
      </c>
      <c r="B9" t="s">
        <v>28</v>
      </c>
      <c r="C9" s="1" t="s">
        <v>19</v>
      </c>
      <c r="D9" s="18">
        <v>0.32</v>
      </c>
    </row>
    <row r="10" spans="1:9" x14ac:dyDescent="0.25">
      <c r="A10" t="str">
        <f t="shared" si="0"/>
        <v>Moderado.Tijolo</v>
      </c>
      <c r="B10" t="s">
        <v>28</v>
      </c>
      <c r="C10" s="1" t="s">
        <v>20</v>
      </c>
      <c r="D10" s="18">
        <v>0.3</v>
      </c>
    </row>
    <row r="11" spans="1:9" x14ac:dyDescent="0.25">
      <c r="A11" t="str">
        <f t="shared" si="0"/>
        <v>Moderado.Híbridos</v>
      </c>
      <c r="B11" t="s">
        <v>28</v>
      </c>
      <c r="C11" s="1" t="s">
        <v>21</v>
      </c>
      <c r="D11" s="18">
        <v>0.08</v>
      </c>
    </row>
    <row r="12" spans="1:9" x14ac:dyDescent="0.25">
      <c r="A12" t="str">
        <f t="shared" si="0"/>
        <v>Moderado.FOFs</v>
      </c>
      <c r="B12" t="s">
        <v>28</v>
      </c>
      <c r="C12" s="1" t="s">
        <v>22</v>
      </c>
      <c r="D12" s="18">
        <v>0.1</v>
      </c>
    </row>
    <row r="13" spans="1:9" x14ac:dyDescent="0.25">
      <c r="A13" t="str">
        <f t="shared" si="0"/>
        <v>Moderado.Desenvolvimento</v>
      </c>
      <c r="B13" t="s">
        <v>28</v>
      </c>
      <c r="C13" s="1" t="s">
        <v>23</v>
      </c>
      <c r="D13" s="18">
        <v>0.1</v>
      </c>
    </row>
    <row r="14" spans="1:9" ht="15.75" thickBot="1" x14ac:dyDescent="0.3">
      <c r="A14" s="23" t="str">
        <f t="shared" si="0"/>
        <v>Moderado.Hotelarias</v>
      </c>
      <c r="B14" s="23" t="s">
        <v>28</v>
      </c>
      <c r="C14" s="81" t="s">
        <v>24</v>
      </c>
      <c r="D14" s="82">
        <v>0.1</v>
      </c>
    </row>
    <row r="15" spans="1:9" x14ac:dyDescent="0.25">
      <c r="A15" t="str">
        <f t="shared" si="0"/>
        <v>Agressivo.Papel</v>
      </c>
      <c r="B15" t="s">
        <v>31</v>
      </c>
      <c r="C15" s="1" t="s">
        <v>19</v>
      </c>
      <c r="D15" s="18">
        <v>0.5</v>
      </c>
    </row>
    <row r="16" spans="1:9" x14ac:dyDescent="0.25">
      <c r="A16" t="str">
        <f t="shared" si="0"/>
        <v>Agressivo.Tijolo</v>
      </c>
      <c r="B16" t="s">
        <v>31</v>
      </c>
      <c r="C16" s="1" t="s">
        <v>20</v>
      </c>
      <c r="D16" s="18">
        <v>0.1</v>
      </c>
    </row>
    <row r="17" spans="1:4" x14ac:dyDescent="0.25">
      <c r="A17" t="str">
        <f t="shared" si="0"/>
        <v>Agressivo.Híbridos</v>
      </c>
      <c r="B17" t="s">
        <v>31</v>
      </c>
      <c r="C17" s="1" t="s">
        <v>21</v>
      </c>
      <c r="D17" s="18">
        <v>0.05</v>
      </c>
    </row>
    <row r="18" spans="1:4" x14ac:dyDescent="0.25">
      <c r="A18" t="str">
        <f t="shared" si="0"/>
        <v>Agressivo.FOFs</v>
      </c>
      <c r="B18" t="s">
        <v>31</v>
      </c>
      <c r="C18" s="1" t="s">
        <v>22</v>
      </c>
      <c r="D18" s="18">
        <v>0.05</v>
      </c>
    </row>
    <row r="19" spans="1:4" x14ac:dyDescent="0.25">
      <c r="A19" t="str">
        <f t="shared" si="0"/>
        <v>Agressivo.Desenvolvimento</v>
      </c>
      <c r="B19" t="s">
        <v>31</v>
      </c>
      <c r="C19" s="1" t="s">
        <v>23</v>
      </c>
      <c r="D19" s="18">
        <v>0.2</v>
      </c>
    </row>
    <row r="20" spans="1:4" x14ac:dyDescent="0.25">
      <c r="A20" s="86" t="str">
        <f t="shared" si="0"/>
        <v>Agressivo.Hotelarias</v>
      </c>
      <c r="B20" s="86" t="s">
        <v>31</v>
      </c>
      <c r="C20" s="87" t="s">
        <v>24</v>
      </c>
      <c r="D20" s="8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Planilha1</vt:lpstr>
      <vt:lpstr>Planilha2</vt:lpstr>
      <vt:lpstr>aporte</vt:lpstr>
      <vt:lpstr>patrimonio</vt:lpstr>
      <vt:lpstr>qtd_anos</vt:lpstr>
      <vt:lpstr>rendimentoo_carteira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Silva</dc:creator>
  <cp:lastModifiedBy>Diogo Silva</cp:lastModifiedBy>
  <dcterms:created xsi:type="dcterms:W3CDTF">2026-10-01T20:32:03Z</dcterms:created>
  <dcterms:modified xsi:type="dcterms:W3CDTF">2026-10-09T00:37:51Z</dcterms:modified>
</cp:coreProperties>
</file>